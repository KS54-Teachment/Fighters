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408\Desktop\"/>
    </mc:Choice>
  </mc:AlternateContent>
  <xr:revisionPtr revIDLastSave="0" documentId="8_{E1B4F173-4A4F-4CA3-9700-5F935D1A4E54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<sst xmlns="http://schemas.openxmlformats.org/spreadsheetml/2006/main" count="68" uniqueCount="45">
  <si>
    <t>ID</t>
  </si>
  <si>
    <t>Пользователь</t>
  </si>
  <si>
    <t>Проблема</t>
  </si>
  <si>
    <t>Категория</t>
  </si>
  <si>
    <t>Приоритет</t>
  </si>
  <si>
    <t>Статус</t>
  </si>
  <si>
    <t>Ответственный</t>
  </si>
  <si>
    <t>Иванова И.И</t>
  </si>
  <si>
    <t>Не могу войти в Госуслуги</t>
  </si>
  <si>
    <t>Обращение</t>
  </si>
  <si>
    <t>Красный</t>
  </si>
  <si>
    <t>в обработке</t>
  </si>
  <si>
    <t>Руководитель</t>
  </si>
  <si>
    <t>Шульгин М.Т</t>
  </si>
  <si>
    <t>Забыл пароль от почты</t>
  </si>
  <si>
    <t>Заявка</t>
  </si>
  <si>
    <t>Синий</t>
  </si>
  <si>
    <t xml:space="preserve">завершен </t>
  </si>
  <si>
    <t>Специалист по безопасности</t>
  </si>
  <si>
    <t>Маратов Т.К</t>
  </si>
  <si>
    <t>Не работает интернет</t>
  </si>
  <si>
    <t>Жалоба</t>
  </si>
  <si>
    <t>Черный</t>
  </si>
  <si>
    <t>активен</t>
  </si>
  <si>
    <t>Кирасов К.К</t>
  </si>
  <si>
    <t>Подозрительное письмо от банка</t>
  </si>
  <si>
    <t>Минаков М.А</t>
  </si>
  <si>
    <t>Как установить приложение</t>
  </si>
  <si>
    <t>Вопрос</t>
  </si>
  <si>
    <t>Технический специалист</t>
  </si>
  <si>
    <t>Лажков Л.Л</t>
  </si>
  <si>
    <t>Как записаться к врачу</t>
  </si>
  <si>
    <t>Консультант</t>
  </si>
  <si>
    <t>Дмитрова Н.К</t>
  </si>
  <si>
    <t>Как оплатить ЖКХ</t>
  </si>
  <si>
    <t>Желтый</t>
  </si>
  <si>
    <t>заморожен</t>
  </si>
  <si>
    <t>Гришко Г.А</t>
  </si>
  <si>
    <t>Как создать новый надежный пароль</t>
  </si>
  <si>
    <t>Котова Н.А</t>
  </si>
  <si>
    <t>Как пользоваться облачным диском</t>
  </si>
  <si>
    <t>Документатор</t>
  </si>
  <si>
    <t>Массонова И.И</t>
  </si>
  <si>
    <t>Как защитить данные</t>
  </si>
  <si>
    <t>Итого обращений: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</si>
</sst>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204"/>
      <scheme val="minor"/>
    </font>
    <font>
      <b/>
      <sz val="11"/>
      <color theme="1"/>
      <name val="Aptos Narrow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8">
    <dxf>
      <font>
        <b/>
        <i val="0"/>
        <color theme="1" tint="4.9989318521683403E-2"/>
      </font>
    </dxf>
    <dxf>
      <font>
        <b/>
        <i val="0"/>
        <color rgb="FFC00000"/>
      </font>
    </dxf>
    <dxf>
      <font>
        <b/>
        <i val="0"/>
        <color rgb="FFCB8611"/>
      </font>
    </dxf>
    <dxf>
      <font>
        <b/>
        <i val="0"/>
        <color theme="3" tint="0.249977111117893"/>
      </font>
    </dxf>
    <dxf>
      <font>
        <color theme="9" tint="-0.249977111117893"/>
      </font>
      <fill>
        <patternFill patternType="solid">
          <bgColor theme="9" tint="0.79998168889431442"/>
        </patternFill>
      </fill>
    </dxf>
    <dxf>
      <font>
        <color theme="5" tint="-0.249977111117893"/>
      </font>
      <fill>
        <patternFill patternType="solid">
          <bgColor theme="5" tint="0.79998168889431442"/>
        </patternFill>
      </fill>
    </dxf>
    <dxf>
      <font>
        <color theme="8" tint="-0.249977111117893"/>
      </font>
      <fill>
        <patternFill patternType="solid">
          <bgColor theme="8" tint="0.79998168889431442"/>
        </patternFill>
      </fill>
    </dxf>
    <dxf>
      <font>
        <color theme="7" tint="-0.249977111117893"/>
      </font>
      <fill>
        <patternFill patternType="solid">
          <bgColor theme="7" tint="0.79998168889431442"/>
        </patternFill>
      </fill>
    </dxf>
  </dxfs>
  <tableStyles count="0" defaultTableStyle="TableStyleMedium2" defaultPivotStyle="PivotStyleLight16"/>
  <colors>
    <mruColors>
      <color rgb="FFCB86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20" sqref="D20"/>
    </sheetView>
  </sheetViews>
  <sheetFormatPr defaultColWidth="9" defaultRowHeight="15" x14ac:dyDescent="0.25"/>
  <cols>
    <col min="1" max="1" width="17.42578125" customWidth="1"/>
    <col min="2" max="2" width="22.7109375" customWidth="1"/>
    <col min="3" max="3" width="35.28515625" customWidth="1"/>
    <col min="4" max="6" width="22.7109375" customWidth="1"/>
    <col min="7" max="7" width="45.28515625" customWidth="1"/>
    <col min="8" max="8" width="2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25">
      <c r="A5">
        <v>4</v>
      </c>
      <c r="B5" t="s">
        <v>24</v>
      </c>
      <c r="C5" t="s">
        <v>25</v>
      </c>
      <c r="D5" t="s">
        <v>9</v>
      </c>
      <c r="E5" t="s">
        <v>22</v>
      </c>
      <c r="F5" t="s">
        <v>17</v>
      </c>
      <c r="G5" t="s">
        <v>18</v>
      </c>
    </row>
    <row r="6" spans="1:7" x14ac:dyDescent="0.25">
      <c r="A6">
        <v>5</v>
      </c>
      <c r="B6" t="s">
        <v>26</v>
      </c>
      <c r="C6" t="s">
        <v>27</v>
      </c>
      <c r="D6" t="s">
        <v>28</v>
      </c>
      <c r="E6" t="s">
        <v>16</v>
      </c>
      <c r="F6" t="s">
        <v>11</v>
      </c>
      <c r="G6" t="s">
        <v>29</v>
      </c>
    </row>
    <row r="7" spans="1:7" x14ac:dyDescent="0.25">
      <c r="A7">
        <v>6</v>
      </c>
      <c r="B7" t="s">
        <v>30</v>
      </c>
      <c r="C7" t="s">
        <v>31</v>
      </c>
      <c r="D7" t="s">
        <v>28</v>
      </c>
      <c r="E7" t="s">
        <v>16</v>
      </c>
      <c r="F7" t="s">
        <v>17</v>
      </c>
      <c r="G7" t="s">
        <v>32</v>
      </c>
    </row>
    <row r="8" spans="1:7" x14ac:dyDescent="0.25">
      <c r="A8">
        <v>7</v>
      </c>
      <c r="B8" t="s">
        <v>33</v>
      </c>
      <c r="C8" t="s">
        <v>34</v>
      </c>
      <c r="D8" t="s">
        <v>28</v>
      </c>
      <c r="E8" t="s">
        <v>35</v>
      </c>
      <c r="F8" t="s">
        <v>36</v>
      </c>
      <c r="G8" t="s">
        <v>29</v>
      </c>
    </row>
    <row r="9" spans="1:7" x14ac:dyDescent="0.25">
      <c r="A9">
        <v>8</v>
      </c>
      <c r="B9" t="s">
        <v>37</v>
      </c>
      <c r="C9" t="s">
        <v>38</v>
      </c>
      <c r="D9" t="s">
        <v>28</v>
      </c>
      <c r="E9" t="s">
        <v>16</v>
      </c>
      <c r="F9" t="s">
        <v>11</v>
      </c>
      <c r="G9" t="s">
        <v>32</v>
      </c>
    </row>
    <row r="10" spans="1:7" x14ac:dyDescent="0.25">
      <c r="A10">
        <v>9</v>
      </c>
      <c r="B10" t="s">
        <v>39</v>
      </c>
      <c r="C10" t="s">
        <v>40</v>
      </c>
      <c r="D10" t="s">
        <v>28</v>
      </c>
      <c r="E10" t="s">
        <v>16</v>
      </c>
      <c r="F10" t="s">
        <v>11</v>
      </c>
      <c r="G10" t="s">
        <v>41</v>
      </c>
    </row>
    <row r="11" spans="1:7" x14ac:dyDescent="0.25">
      <c r="A11">
        <v>10</v>
      </c>
      <c r="B11" t="s">
        <v>42</v>
      </c>
      <c r="C11" t="s">
        <v>43</v>
      </c>
      <c r="D11" t="s">
        <v>28</v>
      </c>
      <c r="E11" t="s">
        <v>10</v>
      </c>
      <c r="F11" t="s">
        <v>17</v>
      </c>
      <c r="G11" t="s">
        <v>32</v>
      </c>
    </row>
    <row r="12" spans="1:7" x14ac:dyDescent="0.25">
      <c r="A12" s="2" t="s">
        <v>44</v>
      </c>
      <c r="B12" s="3">
        <f>COUNT(A2:A11)</f>
        <v>10</v>
      </c>
      <c r="C12" s="3"/>
      <c r="D12" s="3"/>
      <c r="E12" s="3"/>
      <c r="F12" s="3"/>
      <c r="G12" s="3"/>
    </row>
  </sheetData>
  <mergeCells count="1">
    <mergeCell ref="B12:G12"/>
  </mergeCells>
  <conditionalFormatting sqref="D2:E11">
    <cfRule type="containsText" dxfId="7" priority="5" operator="containsText" text="Вопрос">
      <formula>NOT(ISERROR(SEARCH("Вопрос",D2)))</formula>
    </cfRule>
    <cfRule type="containsText" dxfId="6" priority="6" operator="containsText" text="Жалоба">
      <formula>NOT(ISERROR(SEARCH("Жалоба",D2)))</formula>
    </cfRule>
    <cfRule type="containsText" dxfId="5" priority="7" operator="containsText" text="Заявка">
      <formula>NOT(ISERROR(SEARCH("Заявка",D2)))</formula>
    </cfRule>
    <cfRule type="containsText" dxfId="4" priority="8" operator="containsText" text="Обращение">
      <formula>NOT(ISERROR(SEARCH("Обращение",D2)))</formula>
    </cfRule>
  </conditionalFormatting>
  <conditionalFormatting sqref="E2:E11">
    <cfRule type="containsText" dxfId="3" priority="1" operator="containsText" text="Синий">
      <formula>NOT(ISERROR(SEARCH("Синий",E2)))</formula>
    </cfRule>
    <cfRule type="containsText" dxfId="2" priority="2" operator="containsText" text="Желтый">
      <formula>NOT(ISERROR(SEARCH("Желтый",E2)))</formula>
    </cfRule>
    <cfRule type="containsText" dxfId="1" priority="3" operator="containsText" text="Красный">
      <formula>NOT(ISERROR(SEARCH("Красный",E2)))</formula>
    </cfRule>
    <cfRule type="containsText" dxfId="0" priority="4" operator="containsText" text="Черный">
      <formula>NOT(ISERROR(SEARCH("Черный",E2)))</formula>
    </cfRule>
  </conditionalFormatting>
  <dataValidations count="2">
    <dataValidation type="list" allowBlank="1" showInputMessage="1" showErrorMessage="1" sqref="D2:D11" xr:uid="{00000000-0002-0000-0000-000000000000}">
      <formula1>"Обращение; Заявка; Жалоба; Вопрос"</formula1>
    </dataValidation>
    <dataValidation type="list" allowBlank="1" showInputMessage="1" showErrorMessage="1" sqref="E2:E11" xr:uid="{00000000-0002-0000-0000-000001000000}">
      <formula1>"Черный; Красный; Желтый; Синий"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probeblometilotein brostovskix.b</dc:creator>
  <cp:lastModifiedBy>probeblometilotein brostovskix.b</cp:lastModifiedBy>
  <dcterms:created xsi:type="dcterms:W3CDTF">2026-06-01T09:32:00Z</dcterms:created>
  <dcterms:modified xsi:type="dcterms:W3CDTF">2026-06-05T06:27:17Z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69B227974FAA48C9BEBAF8329205E14B_12</vt:lpwstr>
  </property>
  <property fmtid="{D5CDD505-2E9C-101B-9397-08002B2CF9AE}" pid="3" name="KSOProductBuildVer">
    <vt:lpwstr>1049-12.2.0.23196</vt:lpwstr>
  </property>
</Properties>
</file>